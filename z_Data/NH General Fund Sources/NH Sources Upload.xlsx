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sgingrich/owen-for-maine/z_Data/NH General Fund Sources/"/>
    </mc:Choice>
  </mc:AlternateContent>
  <xr:revisionPtr revIDLastSave="0" documentId="13_ncr:1_{2141A33D-BF41-8147-85FD-FA230DBADEA2}" xr6:coauthVersionLast="47" xr6:coauthVersionMax="47" xr10:uidLastSave="{00000000-0000-0000-0000-000000000000}"/>
  <bookViews>
    <workbookView xWindow="680" yWindow="680" windowWidth="28040" windowHeight="16740" activeTab="1" xr2:uid="{44D50A13-AF40-064A-B2E8-B7E98C4F355D}"/>
  </bookViews>
  <sheets>
    <sheet name="Upload" sheetId="1" r:id="rId1"/>
    <sheet name="Reshap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J15" i="2"/>
  <c r="W10" i="1"/>
  <c r="V10" i="1"/>
  <c r="R16" i="1"/>
  <c r="Q16" i="1"/>
  <c r="M16" i="1"/>
  <c r="L16" i="1"/>
  <c r="H16" i="1"/>
  <c r="G16" i="1"/>
  <c r="C16" i="1"/>
  <c r="B16" i="1"/>
</calcChain>
</file>

<file path=xl/sharedStrings.xml><?xml version="1.0" encoding="utf-8"?>
<sst xmlns="http://schemas.openxmlformats.org/spreadsheetml/2006/main" count="88" uniqueCount="31">
  <si>
    <t>Source</t>
  </si>
  <si>
    <t>Other</t>
  </si>
  <si>
    <t>Business Tax</t>
  </si>
  <si>
    <t>Meals &amp; Rental</t>
  </si>
  <si>
    <t>Tobacco Tax</t>
  </si>
  <si>
    <t>Interest &amp; Dividends</t>
  </si>
  <si>
    <t>Communication Svs</t>
  </si>
  <si>
    <t>Real Estate Transfer</t>
  </si>
  <si>
    <t>Utility Property Tax</t>
  </si>
  <si>
    <t>FY 2022</t>
  </si>
  <si>
    <t>FY 2023</t>
  </si>
  <si>
    <t>Change</t>
  </si>
  <si>
    <t>Business Profits Tax</t>
  </si>
  <si>
    <t>Business Enterprise Tax</t>
  </si>
  <si>
    <t>Meals &amp; Rental Tax</t>
  </si>
  <si>
    <t>Interest &amp; Dividends Tax</t>
  </si>
  <si>
    <t>Communications Services Tax</t>
  </si>
  <si>
    <t>Real Estate Transfer Tax</t>
  </si>
  <si>
    <t>TOTAL</t>
  </si>
  <si>
    <t>FY20</t>
  </si>
  <si>
    <t>FY21</t>
  </si>
  <si>
    <t>Communications Svs Tax</t>
  </si>
  <si>
    <t>FY16</t>
  </si>
  <si>
    <t>FY17</t>
  </si>
  <si>
    <t>Estate &amp; Legacy Tax</t>
  </si>
  <si>
    <t>Electricity Consumption Tax</t>
  </si>
  <si>
    <t>Gambling Tax</t>
  </si>
  <si>
    <t>FY18</t>
  </si>
  <si>
    <t>FY19</t>
  </si>
  <si>
    <t xml:space="preserve">Source: </t>
  </si>
  <si>
    <t>https://www.revenue.nh.gov/resource-center/reports-publications-and-presentations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</si>
</sst>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B5C6-19CC-3948-B62E-6FE01371D9E4}">
  <dimension ref="A1:W19"/>
  <sheetViews>
    <sheetView topLeftCell="F1" workbookViewId="0">
      <selection activeCell="U2" sqref="U2:W10"/>
    </sheetView>
  </sheetViews>
  <sheetFormatPr baseColWidth="10" defaultRowHeight="16" x14ac:dyDescent="0.2"/>
  <cols>
    <col min="1" max="1" width="24" bestFit="1" customWidth="1"/>
    <col min="2" max="2" width="8.83203125" customWidth="1"/>
    <col min="3" max="3" width="11.1640625" bestFit="1" customWidth="1"/>
    <col min="4" max="4" width="7.83203125" bestFit="1" customWidth="1"/>
    <col min="5" max="5" width="5" customWidth="1"/>
    <col min="6" max="6" width="24" bestFit="1" customWidth="1"/>
    <col min="7" max="7" width="11.1640625" customWidth="1"/>
    <col min="8" max="8" width="11.1640625" bestFit="1" customWidth="1"/>
    <col min="9" max="9" width="8.1640625" bestFit="1" customWidth="1"/>
    <col min="10" max="10" width="3.1640625" customWidth="1"/>
    <col min="11" max="11" width="21.1640625" bestFit="1" customWidth="1"/>
    <col min="12" max="13" width="11.1640625" bestFit="1" customWidth="1"/>
    <col min="14" max="14" width="7.1640625" customWidth="1"/>
    <col min="15" max="15" width="3.33203125" customWidth="1"/>
    <col min="16" max="16" width="25.5" bestFit="1" customWidth="1"/>
    <col min="17" max="17" width="12.6640625" bestFit="1" customWidth="1"/>
    <col min="18" max="18" width="11.1640625" bestFit="1" customWidth="1"/>
    <col min="19" max="19" width="7.83203125" bestFit="1" customWidth="1"/>
    <col min="20" max="20" width="4" customWidth="1"/>
    <col min="21" max="22" width="12.6640625" bestFit="1" customWidth="1"/>
    <col min="25" max="25" width="17.5" bestFit="1" customWidth="1"/>
  </cols>
  <sheetData>
    <row r="1" spans="1:23" x14ac:dyDescent="0.2">
      <c r="A1" t="s">
        <v>0</v>
      </c>
      <c r="B1" t="s">
        <v>22</v>
      </c>
      <c r="C1" t="s">
        <v>23</v>
      </c>
      <c r="D1" t="s">
        <v>11</v>
      </c>
      <c r="F1" t="s">
        <v>0</v>
      </c>
      <c r="G1" t="s">
        <v>27</v>
      </c>
      <c r="H1" t="s">
        <v>28</v>
      </c>
      <c r="I1" t="s">
        <v>11</v>
      </c>
      <c r="K1" t="s">
        <v>0</v>
      </c>
      <c r="L1" t="s">
        <v>19</v>
      </c>
      <c r="M1" t="s">
        <v>20</v>
      </c>
      <c r="N1" t="s">
        <v>11</v>
      </c>
      <c r="P1" t="s">
        <v>0</v>
      </c>
      <c r="Q1" t="s">
        <v>9</v>
      </c>
      <c r="R1" t="s">
        <v>10</v>
      </c>
      <c r="S1" t="s">
        <v>11</v>
      </c>
      <c r="V1">
        <v>2024</v>
      </c>
      <c r="W1">
        <v>2025</v>
      </c>
    </row>
    <row r="2" spans="1:23" x14ac:dyDescent="0.2">
      <c r="A2" t="s">
        <v>12</v>
      </c>
      <c r="B2">
        <v>418077238</v>
      </c>
      <c r="C2">
        <v>386375757</v>
      </c>
      <c r="D2" s="2">
        <v>-7.5800000000000006E-2</v>
      </c>
      <c r="E2" s="2"/>
      <c r="F2" t="s">
        <v>12</v>
      </c>
      <c r="G2">
        <v>478860160</v>
      </c>
      <c r="H2">
        <v>511882210</v>
      </c>
      <c r="I2" s="2">
        <v>6.9000000000000006E-2</v>
      </c>
      <c r="K2" t="s">
        <v>12</v>
      </c>
      <c r="L2">
        <v>426154962</v>
      </c>
      <c r="M2">
        <v>664000000</v>
      </c>
      <c r="N2" s="2">
        <v>0.35820000000000002</v>
      </c>
      <c r="P2" t="s">
        <v>12</v>
      </c>
      <c r="Q2" s="1">
        <v>880300000</v>
      </c>
      <c r="R2">
        <v>974200000</v>
      </c>
      <c r="S2" s="2">
        <v>9.64E-2</v>
      </c>
      <c r="U2" t="s">
        <v>2</v>
      </c>
      <c r="V2" s="1">
        <v>1224200000</v>
      </c>
      <c r="W2" s="1">
        <v>1103100000</v>
      </c>
    </row>
    <row r="3" spans="1:23" x14ac:dyDescent="0.2">
      <c r="A3" t="s">
        <v>13</v>
      </c>
      <c r="B3">
        <v>268271075</v>
      </c>
      <c r="C3">
        <v>252701808</v>
      </c>
      <c r="D3" s="2">
        <v>-5.8000000000000003E-2</v>
      </c>
      <c r="E3" s="2"/>
      <c r="F3" t="s">
        <v>13</v>
      </c>
      <c r="G3">
        <v>297036564</v>
      </c>
      <c r="H3">
        <v>329401227</v>
      </c>
      <c r="I3" s="2">
        <v>0.109</v>
      </c>
      <c r="K3" t="s">
        <v>13</v>
      </c>
      <c r="L3">
        <v>251041385</v>
      </c>
      <c r="M3">
        <v>336800000</v>
      </c>
      <c r="N3" s="2">
        <v>0.25459999999999999</v>
      </c>
      <c r="P3" t="s">
        <v>13</v>
      </c>
      <c r="Q3" s="1">
        <v>332700000</v>
      </c>
      <c r="R3">
        <v>306800000</v>
      </c>
      <c r="S3" s="2">
        <v>-5.4800000000000001E-2</v>
      </c>
      <c r="U3" t="s">
        <v>3</v>
      </c>
      <c r="V3" s="1">
        <v>327400000</v>
      </c>
      <c r="W3" s="1">
        <v>337900000</v>
      </c>
    </row>
    <row r="4" spans="1:23" x14ac:dyDescent="0.2">
      <c r="A4" t="s">
        <v>14</v>
      </c>
      <c r="B4">
        <v>299758344</v>
      </c>
      <c r="C4">
        <v>313214302</v>
      </c>
      <c r="D4" s="2">
        <v>4.4900000000000002E-2</v>
      </c>
      <c r="E4" s="2"/>
      <c r="F4" t="s">
        <v>14</v>
      </c>
      <c r="G4">
        <v>329988445</v>
      </c>
      <c r="H4">
        <v>348259847</v>
      </c>
      <c r="I4" s="2">
        <v>5.5399999999999998E-2</v>
      </c>
      <c r="K4" t="s">
        <v>14</v>
      </c>
      <c r="L4">
        <v>325577496</v>
      </c>
      <c r="M4">
        <v>321400000</v>
      </c>
      <c r="N4" s="2">
        <v>-1.2999999999999999E-2</v>
      </c>
      <c r="P4" t="s">
        <v>14</v>
      </c>
      <c r="Q4" s="1">
        <v>304800000</v>
      </c>
      <c r="R4">
        <v>317300000</v>
      </c>
      <c r="S4" s="2">
        <v>3.3399999999999999E-2</v>
      </c>
      <c r="U4" t="s">
        <v>4</v>
      </c>
      <c r="V4" s="1">
        <v>190900000</v>
      </c>
      <c r="W4" s="1">
        <v>180600000</v>
      </c>
    </row>
    <row r="5" spans="1:23" x14ac:dyDescent="0.2">
      <c r="A5" t="s">
        <v>4</v>
      </c>
      <c r="B5">
        <v>229032740</v>
      </c>
      <c r="C5">
        <v>215266706</v>
      </c>
      <c r="D5" s="2">
        <v>-6.0100000000000001E-2</v>
      </c>
      <c r="E5" s="2"/>
      <c r="F5" t="s">
        <v>4</v>
      </c>
      <c r="G5">
        <v>216160499</v>
      </c>
      <c r="H5">
        <v>198790528</v>
      </c>
      <c r="I5" s="2">
        <v>-8.0399999999999999E-2</v>
      </c>
      <c r="K5" t="s">
        <v>4</v>
      </c>
      <c r="L5">
        <v>209734311</v>
      </c>
      <c r="M5">
        <v>251000000</v>
      </c>
      <c r="N5" s="2">
        <v>0.16439999999999999</v>
      </c>
      <c r="P5" t="s">
        <v>4</v>
      </c>
      <c r="Q5" s="1">
        <v>231700000</v>
      </c>
      <c r="R5">
        <v>216000000</v>
      </c>
      <c r="S5" s="2">
        <v>-0.1037</v>
      </c>
      <c r="U5" t="s">
        <v>5</v>
      </c>
      <c r="V5" s="1">
        <v>184100000</v>
      </c>
      <c r="W5" s="1">
        <v>93100000</v>
      </c>
    </row>
    <row r="6" spans="1:23" x14ac:dyDescent="0.2">
      <c r="A6" t="s">
        <v>15</v>
      </c>
      <c r="B6">
        <v>89312201</v>
      </c>
      <c r="C6">
        <v>93906070</v>
      </c>
      <c r="D6" s="2">
        <v>5.1400000000000001E-2</v>
      </c>
      <c r="E6" s="2"/>
      <c r="F6" t="s">
        <v>15</v>
      </c>
      <c r="G6">
        <v>106152324</v>
      </c>
      <c r="H6">
        <v>114138786</v>
      </c>
      <c r="I6" s="2">
        <v>7.5200000000000003E-2</v>
      </c>
      <c r="K6" t="s">
        <v>15</v>
      </c>
      <c r="L6">
        <v>108285625</v>
      </c>
      <c r="M6">
        <v>137500000</v>
      </c>
      <c r="N6" s="2">
        <v>0.21249999999999999</v>
      </c>
      <c r="P6" t="s">
        <v>15</v>
      </c>
      <c r="Q6" s="1">
        <v>156400000</v>
      </c>
      <c r="R6">
        <v>150600000</v>
      </c>
      <c r="S6" s="2">
        <v>7.5700000000000003E-2</v>
      </c>
      <c r="U6" t="s">
        <v>6</v>
      </c>
      <c r="V6" s="1">
        <v>30600000</v>
      </c>
      <c r="W6" s="1">
        <v>29000000</v>
      </c>
    </row>
    <row r="7" spans="1:23" x14ac:dyDescent="0.2">
      <c r="A7" t="s">
        <v>24</v>
      </c>
      <c r="B7">
        <v>28559</v>
      </c>
      <c r="C7">
        <v>7402</v>
      </c>
      <c r="D7" s="2">
        <v>-0.74080000000000001</v>
      </c>
      <c r="E7" s="2"/>
      <c r="F7" t="s">
        <v>24</v>
      </c>
      <c r="G7">
        <v>0</v>
      </c>
      <c r="H7">
        <v>1276</v>
      </c>
      <c r="I7" s="2">
        <v>1</v>
      </c>
      <c r="K7" t="s">
        <v>21</v>
      </c>
      <c r="L7">
        <v>39824256</v>
      </c>
      <c r="M7">
        <v>39800000</v>
      </c>
      <c r="N7" s="2">
        <v>-5.9999999999999995E-4</v>
      </c>
      <c r="P7" t="s">
        <v>16</v>
      </c>
      <c r="Q7" s="1">
        <v>30900000</v>
      </c>
      <c r="R7">
        <v>30100000</v>
      </c>
      <c r="S7" s="2">
        <v>7.1099999999999997E-2</v>
      </c>
      <c r="U7" t="s">
        <v>7</v>
      </c>
      <c r="V7" s="1">
        <v>184400000</v>
      </c>
      <c r="W7" s="1">
        <v>201000000</v>
      </c>
    </row>
    <row r="8" spans="1:23" x14ac:dyDescent="0.2">
      <c r="A8" t="s">
        <v>21</v>
      </c>
      <c r="B8">
        <v>52569584</v>
      </c>
      <c r="C8">
        <v>47753504</v>
      </c>
      <c r="D8" s="2">
        <v>-9.1600000000000001E-2</v>
      </c>
      <c r="E8" s="2"/>
      <c r="F8" t="s">
        <v>21</v>
      </c>
      <c r="G8">
        <v>43557515</v>
      </c>
      <c r="H8">
        <v>41371334</v>
      </c>
      <c r="I8" s="2">
        <v>-5.0200000000000002E-2</v>
      </c>
      <c r="K8" t="s">
        <v>17</v>
      </c>
      <c r="L8">
        <v>158258783</v>
      </c>
      <c r="M8">
        <v>202700000</v>
      </c>
      <c r="N8" s="2">
        <v>0.21920000000000001</v>
      </c>
      <c r="P8" t="s">
        <v>17</v>
      </c>
      <c r="Q8" s="1">
        <v>230500000</v>
      </c>
      <c r="R8">
        <v>209100000</v>
      </c>
      <c r="S8" s="2">
        <v>3.3300000000000003E-2</v>
      </c>
      <c r="U8" t="s">
        <v>8</v>
      </c>
      <c r="V8" s="1">
        <v>46700000</v>
      </c>
      <c r="W8" s="1">
        <v>49300000</v>
      </c>
    </row>
    <row r="9" spans="1:23" x14ac:dyDescent="0.2">
      <c r="A9" t="s">
        <v>17</v>
      </c>
      <c r="B9">
        <v>133360585</v>
      </c>
      <c r="C9">
        <v>142223362</v>
      </c>
      <c r="D9" s="2">
        <v>6.6500000000000004E-2</v>
      </c>
      <c r="E9" s="2"/>
      <c r="F9" t="s">
        <v>17</v>
      </c>
      <c r="G9">
        <v>148702907</v>
      </c>
      <c r="H9">
        <v>153725545</v>
      </c>
      <c r="I9" s="2">
        <v>3.3799999999999997E-2</v>
      </c>
      <c r="K9" t="s">
        <v>8</v>
      </c>
      <c r="L9">
        <v>43235831</v>
      </c>
      <c r="M9">
        <v>38200000</v>
      </c>
      <c r="N9" s="2">
        <v>-0.1318</v>
      </c>
      <c r="P9" t="s">
        <v>8</v>
      </c>
      <c r="Q9" s="1">
        <v>43200000</v>
      </c>
      <c r="R9">
        <v>42900000</v>
      </c>
      <c r="S9" s="2">
        <v>0</v>
      </c>
      <c r="U9" t="s">
        <v>1</v>
      </c>
      <c r="V9" s="1">
        <v>287141</v>
      </c>
      <c r="W9" s="1">
        <v>1006220</v>
      </c>
    </row>
    <row r="10" spans="1:23" x14ac:dyDescent="0.2">
      <c r="A10" t="s">
        <v>8</v>
      </c>
      <c r="B10">
        <v>43256315</v>
      </c>
      <c r="C10">
        <v>41754713</v>
      </c>
      <c r="D10" s="2">
        <v>-3.4700000000000002E-2</v>
      </c>
      <c r="E10" s="2"/>
      <c r="F10" t="s">
        <v>8</v>
      </c>
      <c r="G10">
        <v>45166155</v>
      </c>
      <c r="H10">
        <v>39519121</v>
      </c>
      <c r="I10" s="2">
        <v>-0.125</v>
      </c>
      <c r="K10" t="s">
        <v>1</v>
      </c>
      <c r="L10">
        <v>553160</v>
      </c>
      <c r="M10">
        <v>605375</v>
      </c>
      <c r="N10" s="2">
        <v>8.6300000000000002E-2</v>
      </c>
      <c r="P10" t="s">
        <v>1</v>
      </c>
      <c r="Q10" s="1">
        <v>669484</v>
      </c>
      <c r="R10">
        <v>579652</v>
      </c>
      <c r="S10" s="2">
        <v>0</v>
      </c>
      <c r="U10" t="s">
        <v>18</v>
      </c>
      <c r="V10" s="1">
        <f>SUM(V2:V9)</f>
        <v>2188587141</v>
      </c>
      <c r="W10" s="1">
        <f>SUM(W2:W9)</f>
        <v>1995006220</v>
      </c>
    </row>
    <row r="11" spans="1:23" x14ac:dyDescent="0.2">
      <c r="A11" t="s">
        <v>25</v>
      </c>
      <c r="B11">
        <v>5976896</v>
      </c>
      <c r="C11">
        <v>5996755</v>
      </c>
      <c r="D11" s="2">
        <v>3.3E-3</v>
      </c>
      <c r="E11" s="2"/>
      <c r="F11" t="s">
        <v>25</v>
      </c>
      <c r="G11">
        <v>5837397</v>
      </c>
      <c r="H11">
        <v>4238779</v>
      </c>
      <c r="I11" s="2">
        <v>-0.27389999999999998</v>
      </c>
      <c r="K11" t="s">
        <v>18</v>
      </c>
      <c r="L11">
        <v>1562665809</v>
      </c>
      <c r="M11">
        <v>1992005375</v>
      </c>
      <c r="N11" s="2">
        <v>0.2155</v>
      </c>
      <c r="P11" t="s">
        <v>18</v>
      </c>
      <c r="Q11" s="1">
        <v>2211169484</v>
      </c>
      <c r="R11">
        <v>2247579652</v>
      </c>
      <c r="S11" s="2">
        <v>3.8899999999999997E-2</v>
      </c>
    </row>
    <row r="12" spans="1:23" x14ac:dyDescent="0.2">
      <c r="A12" t="s">
        <v>26</v>
      </c>
      <c r="B12">
        <v>4962</v>
      </c>
      <c r="C12">
        <v>735</v>
      </c>
      <c r="D12" s="2">
        <v>-0.85189999999999999</v>
      </c>
      <c r="E12" s="2"/>
      <c r="F12" t="s">
        <v>26</v>
      </c>
      <c r="G12">
        <v>151813</v>
      </c>
      <c r="H12">
        <v>1451</v>
      </c>
      <c r="I12" s="2">
        <v>-0.99039999999999995</v>
      </c>
    </row>
    <row r="13" spans="1:23" x14ac:dyDescent="0.2">
      <c r="A13" t="s">
        <v>1</v>
      </c>
      <c r="B13">
        <v>1080914</v>
      </c>
      <c r="C13">
        <v>799951</v>
      </c>
      <c r="D13" s="2">
        <v>-0.25990000000000002</v>
      </c>
      <c r="E13" s="2"/>
      <c r="F13" t="s">
        <v>1</v>
      </c>
      <c r="G13">
        <v>709103</v>
      </c>
      <c r="H13">
        <v>1137203</v>
      </c>
      <c r="I13" s="2">
        <v>0.60370000000000001</v>
      </c>
    </row>
    <row r="14" spans="1:23" x14ac:dyDescent="0.2">
      <c r="A14" t="s">
        <v>18</v>
      </c>
      <c r="B14">
        <v>1540729413</v>
      </c>
      <c r="C14">
        <v>1500001065</v>
      </c>
      <c r="D14" s="2">
        <v>-2.64E-2</v>
      </c>
      <c r="E14" s="2"/>
      <c r="F14" t="s">
        <v>18</v>
      </c>
      <c r="G14">
        <v>1672322882</v>
      </c>
      <c r="H14">
        <v>1742467308</v>
      </c>
      <c r="I14" s="2">
        <v>4.19E-2</v>
      </c>
    </row>
    <row r="16" spans="1:23" x14ac:dyDescent="0.2">
      <c r="B16" t="b">
        <f>B14=SUM(B2:B13)</f>
        <v>1</v>
      </c>
      <c r="C16" t="b">
        <f>C14=SUM(C2:C13)</f>
        <v>1</v>
      </c>
      <c r="G16" t="b">
        <f>G14=SUM(G2:G13)</f>
        <v>1</v>
      </c>
      <c r="H16" t="b">
        <f>H14=SUM(H2:H13)</f>
        <v>0</v>
      </c>
      <c r="L16" t="b">
        <f>L11=SUM(L2:L10)</f>
        <v>1</v>
      </c>
      <c r="M16" t="b">
        <f>M11=SUM(M2:M10)</f>
        <v>1</v>
      </c>
      <c r="Q16" t="b">
        <f>Q11=SUM(Q2:Q10)</f>
        <v>1</v>
      </c>
      <c r="R16" t="b">
        <f>R11=SUM(R2:R10)</f>
        <v>1</v>
      </c>
    </row>
    <row r="19" spans="1:2" x14ac:dyDescent="0.2">
      <c r="A19" t="s">
        <v>29</v>
      </c>
      <c r="B1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1D54-0DDF-E147-8407-2545BFFDA332}">
  <dimension ref="A1:K15"/>
  <sheetViews>
    <sheetView tabSelected="1" workbookViewId="0">
      <selection activeCell="M18" sqref="M18"/>
    </sheetView>
  </sheetViews>
  <sheetFormatPr baseColWidth="10" defaultRowHeight="16" x14ac:dyDescent="0.2"/>
  <cols>
    <col min="1" max="1" width="24" bestFit="1" customWidth="1"/>
    <col min="2" max="2" width="11.1640625" bestFit="1" customWidth="1"/>
    <col min="10" max="11" width="12.6640625" bestFit="1" customWidth="1"/>
  </cols>
  <sheetData>
    <row r="1" spans="1:11" x14ac:dyDescent="0.2">
      <c r="A1" t="s">
        <v>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</row>
    <row r="2" spans="1:11" x14ac:dyDescent="0.2">
      <c r="A2" t="s">
        <v>12</v>
      </c>
      <c r="B2">
        <v>418077238</v>
      </c>
      <c r="C2">
        <v>386375757</v>
      </c>
      <c r="D2">
        <v>478860160</v>
      </c>
      <c r="E2">
        <v>511882210</v>
      </c>
      <c r="F2">
        <v>426154962</v>
      </c>
      <c r="G2">
        <v>664000000</v>
      </c>
      <c r="H2" s="1">
        <v>880300000</v>
      </c>
      <c r="I2">
        <v>974200000</v>
      </c>
    </row>
    <row r="3" spans="1:11" x14ac:dyDescent="0.2">
      <c r="A3" t="s">
        <v>13</v>
      </c>
      <c r="B3">
        <v>268271075</v>
      </c>
      <c r="C3">
        <v>252701808</v>
      </c>
      <c r="D3">
        <v>297036564</v>
      </c>
      <c r="E3">
        <v>329401227</v>
      </c>
      <c r="F3">
        <v>251041385</v>
      </c>
      <c r="G3">
        <v>336800000</v>
      </c>
      <c r="H3" s="1">
        <v>332700000</v>
      </c>
      <c r="I3">
        <v>306800000</v>
      </c>
    </row>
    <row r="4" spans="1:11" x14ac:dyDescent="0.2">
      <c r="A4" t="s">
        <v>2</v>
      </c>
      <c r="H4" s="1"/>
      <c r="J4" s="1">
        <v>1224200000</v>
      </c>
      <c r="K4" s="1">
        <v>1103100000</v>
      </c>
    </row>
    <row r="5" spans="1:11" x14ac:dyDescent="0.2">
      <c r="A5" t="s">
        <v>14</v>
      </c>
      <c r="B5">
        <v>299758344</v>
      </c>
      <c r="C5">
        <v>313214302</v>
      </c>
      <c r="D5">
        <v>329988445</v>
      </c>
      <c r="E5">
        <v>348259847</v>
      </c>
      <c r="F5">
        <v>325577496</v>
      </c>
      <c r="G5">
        <v>321400000</v>
      </c>
      <c r="H5" s="1">
        <v>304800000</v>
      </c>
      <c r="I5">
        <v>317300000</v>
      </c>
      <c r="J5" s="1">
        <v>327400000</v>
      </c>
      <c r="K5" s="1">
        <v>337900000</v>
      </c>
    </row>
    <row r="6" spans="1:11" x14ac:dyDescent="0.2">
      <c r="A6" t="s">
        <v>4</v>
      </c>
      <c r="B6">
        <v>229032740</v>
      </c>
      <c r="C6">
        <v>215266706</v>
      </c>
      <c r="D6">
        <v>216160499</v>
      </c>
      <c r="E6">
        <v>198790528</v>
      </c>
      <c r="F6">
        <v>209734311</v>
      </c>
      <c r="G6">
        <v>251000000</v>
      </c>
      <c r="H6" s="1">
        <v>231700000</v>
      </c>
      <c r="I6">
        <v>216000000</v>
      </c>
      <c r="J6" s="1">
        <v>190900000</v>
      </c>
      <c r="K6" s="1">
        <v>180600000</v>
      </c>
    </row>
    <row r="7" spans="1:11" x14ac:dyDescent="0.2">
      <c r="A7" t="s">
        <v>15</v>
      </c>
      <c r="B7">
        <v>89312201</v>
      </c>
      <c r="C7">
        <v>93906070</v>
      </c>
      <c r="D7">
        <v>106152324</v>
      </c>
      <c r="E7">
        <v>114138786</v>
      </c>
      <c r="F7">
        <v>108285625</v>
      </c>
      <c r="G7">
        <v>137500000</v>
      </c>
      <c r="H7" s="1">
        <v>156400000</v>
      </c>
      <c r="I7">
        <v>150600000</v>
      </c>
      <c r="J7" s="1">
        <v>184100000</v>
      </c>
      <c r="K7" s="1">
        <v>93100000</v>
      </c>
    </row>
    <row r="8" spans="1:11" x14ac:dyDescent="0.2">
      <c r="A8" t="s">
        <v>24</v>
      </c>
      <c r="B8">
        <v>28559</v>
      </c>
      <c r="C8">
        <v>7402</v>
      </c>
      <c r="D8">
        <v>0</v>
      </c>
      <c r="E8">
        <v>1276</v>
      </c>
    </row>
    <row r="9" spans="1:11" x14ac:dyDescent="0.2">
      <c r="A9" t="s">
        <v>21</v>
      </c>
      <c r="B9">
        <v>52569584</v>
      </c>
      <c r="C9">
        <v>47753504</v>
      </c>
      <c r="D9">
        <v>43557515</v>
      </c>
      <c r="E9">
        <v>41371334</v>
      </c>
      <c r="F9">
        <v>39824256</v>
      </c>
      <c r="G9">
        <v>39800000</v>
      </c>
      <c r="H9" s="1">
        <v>30900000</v>
      </c>
      <c r="I9">
        <v>30100000</v>
      </c>
      <c r="J9" s="1">
        <v>30600000</v>
      </c>
      <c r="K9" s="1">
        <v>29000000</v>
      </c>
    </row>
    <row r="10" spans="1:11" x14ac:dyDescent="0.2">
      <c r="A10" t="s">
        <v>17</v>
      </c>
      <c r="B10">
        <v>133360585</v>
      </c>
      <c r="C10">
        <v>142223362</v>
      </c>
      <c r="D10">
        <v>148702907</v>
      </c>
      <c r="E10">
        <v>153725545</v>
      </c>
      <c r="F10">
        <v>158258783</v>
      </c>
      <c r="G10">
        <v>202700000</v>
      </c>
      <c r="H10" s="1">
        <v>230500000</v>
      </c>
      <c r="I10">
        <v>209100000</v>
      </c>
      <c r="J10" s="1">
        <v>184400000</v>
      </c>
      <c r="K10" s="1">
        <v>201000000</v>
      </c>
    </row>
    <row r="11" spans="1:11" x14ac:dyDescent="0.2">
      <c r="A11" t="s">
        <v>8</v>
      </c>
      <c r="B11">
        <v>43256315</v>
      </c>
      <c r="C11">
        <v>41754713</v>
      </c>
      <c r="D11">
        <v>45166155</v>
      </c>
      <c r="E11">
        <v>39519121</v>
      </c>
      <c r="F11">
        <v>43235831</v>
      </c>
      <c r="G11">
        <v>38200000</v>
      </c>
      <c r="H11" s="1">
        <v>43200000</v>
      </c>
      <c r="I11">
        <v>42900000</v>
      </c>
      <c r="J11" s="1">
        <v>46700000</v>
      </c>
      <c r="K11" s="1">
        <v>49300000</v>
      </c>
    </row>
    <row r="12" spans="1:11" x14ac:dyDescent="0.2">
      <c r="A12" t="s">
        <v>25</v>
      </c>
      <c r="B12">
        <v>5976896</v>
      </c>
      <c r="C12">
        <v>5996755</v>
      </c>
      <c r="D12">
        <v>5837397</v>
      </c>
      <c r="E12">
        <v>4238779</v>
      </c>
    </row>
    <row r="13" spans="1:11" x14ac:dyDescent="0.2">
      <c r="A13" t="s">
        <v>26</v>
      </c>
      <c r="B13">
        <v>4962</v>
      </c>
      <c r="C13">
        <v>735</v>
      </c>
      <c r="D13">
        <v>151813</v>
      </c>
      <c r="E13">
        <v>1451</v>
      </c>
    </row>
    <row r="14" spans="1:11" x14ac:dyDescent="0.2">
      <c r="A14" t="s">
        <v>1</v>
      </c>
      <c r="B14">
        <v>1080914</v>
      </c>
      <c r="C14">
        <v>799951</v>
      </c>
      <c r="D14">
        <v>709103</v>
      </c>
      <c r="E14">
        <v>1137203</v>
      </c>
      <c r="F14">
        <v>553160</v>
      </c>
      <c r="G14">
        <v>605375</v>
      </c>
      <c r="H14" s="1">
        <v>669484</v>
      </c>
      <c r="I14">
        <v>579652</v>
      </c>
      <c r="J14" s="1">
        <v>287141</v>
      </c>
      <c r="K14" s="1">
        <v>1006220</v>
      </c>
    </row>
    <row r="15" spans="1:11" x14ac:dyDescent="0.2">
      <c r="A15" t="s">
        <v>18</v>
      </c>
      <c r="B15">
        <v>1540729413</v>
      </c>
      <c r="C15">
        <v>1500001065</v>
      </c>
      <c r="D15">
        <v>1672322882</v>
      </c>
      <c r="E15">
        <v>1742467308</v>
      </c>
      <c r="F15">
        <v>1562665809</v>
      </c>
      <c r="G15">
        <v>1992005375</v>
      </c>
      <c r="H15" s="1">
        <v>2211169484</v>
      </c>
      <c r="I15">
        <v>2247579652</v>
      </c>
      <c r="J15" s="1">
        <f>SUM(J3:J14)</f>
        <v>2188587141</v>
      </c>
      <c r="K15" s="1">
        <f>SUM(K3:K14)</f>
        <v>1995006220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Reshaped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 Gingrich</dc:creator>
  <cp:lastModifiedBy>Brooks Gingrich</cp:lastModifiedBy>
  <dcterms:created xsi:type="dcterms:W3CDTF">2025-12-15T19:36:03Z</dcterms:created>
  <dcterms:modified xsi:type="dcterms:W3CDTF">2025-12-15T20:18:49Z</dcterms:modified>
</cp:coreProperties>
</file>